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/Users/baktanarta/Documents/numerulogi/"/>
    </mc:Choice>
  </mc:AlternateContent>
  <xr:revisionPtr revIDLastSave="0" documentId="13_ncr:1_{665C81DA-730C-B946-9FCE-B317B7260242}" xr6:coauthVersionLast="47" xr6:coauthVersionMax="47" xr10:uidLastSave="{00000000-0000-0000-0000-000000000000}"/>
  <bookViews>
    <workbookView xWindow="4340" yWindow="1000" windowWidth="24460" windowHeight="15860" xr2:uid="{ECFE6AE0-780A-0840-BADF-E36F03B4C72C}"/>
  </bookViews>
  <sheets>
    <sheet name="Palelintangan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2" i="1"/>
  <c r="E70" i="1"/>
  <c r="E69" i="1"/>
  <c r="F71" i="1" l="1" a="1"/>
  <c r="F71" i="1" s="1"/>
  <c r="F70" i="1"/>
  <c r="F72" i="1" l="1"/>
  <c r="F73" i="1"/>
  <c r="G72" i="1" l="1"/>
  <c r="H72" i="1"/>
  <c r="H73" i="1"/>
  <c r="G7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<sst xmlns="http://schemas.openxmlformats.org/spreadsheetml/2006/main" count="322" uniqueCount="182">
  <si>
    <t>Hari</t>
  </si>
  <si>
    <t>Pasaran</t>
  </si>
  <si>
    <t>Lintang</t>
  </si>
  <si>
    <t>Minggu</t>
  </si>
  <si>
    <t>Umanis</t>
  </si>
  <si>
    <t>Lintang Sungsangkala</t>
  </si>
  <si>
    <t>Suara kecil, tidak mendengar pembicaraan, Sering Salah mengerti,melawan guru</t>
  </si>
  <si>
    <t>Lintang Gajah</t>
  </si>
  <si>
    <t>Pintar, Berani, Banyak Anak, Tidak disukai banyak orang</t>
  </si>
  <si>
    <t>Pon</t>
  </si>
  <si>
    <t>Lintang Patrem</t>
  </si>
  <si>
    <t>Senang berdiskusi, meninggal salah pati/ngulah pati, Meninggikan diri atau yang dikatakan tidak benar</t>
  </si>
  <si>
    <t>Wage</t>
  </si>
  <si>
    <t>Lintang Tenggala</t>
  </si>
  <si>
    <t>Dari kecil sakit sakitan, seudah besar baik, Senang bertapa</t>
  </si>
  <si>
    <t>Kliwon</t>
  </si>
  <si>
    <t>Lintang Goang]</t>
  </si>
  <si>
    <t>Senang menentang pembicaraan, Penjudi, berakhlak Jahat</t>
  </si>
  <si>
    <t>Senin</t>
  </si>
  <si>
    <t>Lintang Kelapa</t>
  </si>
  <si>
    <t>Kaya dengan berjualan Minuman (Arak), Hidup bahagia</t>
  </si>
  <si>
    <t>Lintang Dupa, Membujang</t>
  </si>
  <si>
    <t>Membujang, Jika menikah akan mendapat halangan (salah satunya),Cepat dapat-cepat habis</t>
  </si>
  <si>
    <t>Lintang Kiriman</t>
  </si>
  <si>
    <t>Sedih karena perbuatan orang lain</t>
  </si>
  <si>
    <t>Lintang Lembu</t>
  </si>
  <si>
    <t>Sengsara dari kecil</t>
  </si>
  <si>
    <t>Lintang Pedati Puyung</t>
  </si>
  <si>
    <t>Mampu menjadi kaya, tapi sering kecurian</t>
  </si>
  <si>
    <t>Selasa</t>
  </si>
  <si>
    <t>Lintang Kuda</t>
  </si>
  <si>
    <t>Kaya tapi sakit saklitan, Senang Fitnah</t>
  </si>
  <si>
    <t>Lintang Yuyu</t>
  </si>
  <si>
    <t>Memiliki Keinginan Kuat, Memiliki Harapan, Senang bekerja</t>
  </si>
  <si>
    <t>Lintang Asu</t>
  </si>
  <si>
    <t>Laki-laki, Tangguh dalam Perang,banyak orang suka</t>
  </si>
  <si>
    <t>Lintang Perahu Sarat</t>
  </si>
  <si>
    <t>Didatangi oelh banyak orang, Senang berinvestasi, kekayaan semakin hari menurun</t>
  </si>
  <si>
    <t>Lintang Sidamalung</t>
  </si>
  <si>
    <t>Ada kemungkinan meninggal karena melahirkan, atau meninggal tidak benar</t>
  </si>
  <si>
    <t>Rabu</t>
  </si>
  <si>
    <t>Lintang Tangis</t>
  </si>
  <si>
    <t>Sengsara karena miliki direbut orang lain</t>
  </si>
  <si>
    <t>Lintang gajahmina</t>
  </si>
  <si>
    <t>Dinerkati Tuha dan menemukan bahagia</t>
  </si>
  <si>
    <t>Lintang Lumbung Mujung</t>
  </si>
  <si>
    <t>Dapat menjadi kaya setelah mendapatkan celah</t>
  </si>
  <si>
    <t>Lintang Kartika</t>
  </si>
  <si>
    <t>Sehat bahagia, sentosa</t>
  </si>
  <si>
    <t>Lintang Atiwa-tiwa</t>
  </si>
  <si>
    <t>Rukun dalam rumahtangga, gagal setiap kelahiran anak karena berbicara sembarang</t>
  </si>
  <si>
    <t>Kamis</t>
  </si>
  <si>
    <t>Lintang Sangkatikel</t>
  </si>
  <si>
    <t>Semua yang dipewrbuat menimbulkan kesedihan</t>
  </si>
  <si>
    <t>Lintang Salah Ukur</t>
  </si>
  <si>
    <t>Senang bertengkar, kurang perhatian</t>
  </si>
  <si>
    <t>Lintang Bade</t>
  </si>
  <si>
    <t>Sejak kecil sakit, sampai hampir meninggal</t>
  </si>
  <si>
    <t>Lintang Kumba</t>
  </si>
  <si>
    <t>Panjang Umur, Pintar, tekun bekerja</t>
  </si>
  <si>
    <t>Lintang Naga</t>
  </si>
  <si>
    <t>Pura pura Pintar, omongan-nya benar</t>
  </si>
  <si>
    <t>jumat</t>
  </si>
  <si>
    <t>Lintang Angsa Makeem</t>
  </si>
  <si>
    <t>Dapat harta tapi cepat habis karena boros dan ada yang mencuri</t>
  </si>
  <si>
    <t>Lintang bubu Bocor</t>
  </si>
  <si>
    <t>Cepat depat cepat habis,</t>
  </si>
  <si>
    <t>Lintang Perahu Pegat</t>
  </si>
  <si>
    <t>Yang laki atau perempuan meninggal, Boros belanja, makanya sedih</t>
  </si>
  <si>
    <t>Lintang Galut Utang</t>
  </si>
  <si>
    <t>Tidak pernah habis habisnya berhutang.</t>
  </si>
  <si>
    <t>Lintang Udang</t>
  </si>
  <si>
    <t>Saat kecil sakit, Setelah besar sehat</t>
  </si>
  <si>
    <t>Sabtu</t>
  </si>
  <si>
    <t>Lintang Begong</t>
  </si>
  <si>
    <t>Difitnah melakukan kejahatan, walau berbuat baik</t>
  </si>
  <si>
    <t>Lintang Panah</t>
  </si>
  <si>
    <t>Prajurit, disenangi rakyat, tahu bertata susila</t>
  </si>
  <si>
    <t>Lintang Sungenge</t>
  </si>
  <si>
    <t>Disenangi oleh rainga besar dan sehat</t>
  </si>
  <si>
    <t>Lintang Puwuh Atarung</t>
  </si>
  <si>
    <t>Senang membuat ribut, menentang yang benar, kaya tapi pelit sehingga berdosa</t>
  </si>
  <si>
    <t>Lintang Rarung Pagelangan</t>
  </si>
  <si>
    <t>Selalau menemukan kesedihan semenjak berkeluarga, kemudian hari ditinggal anaknya</t>
  </si>
  <si>
    <t>HARI</t>
  </si>
  <si>
    <t>UMANIS</t>
  </si>
  <si>
    <t>PAING</t>
  </si>
  <si>
    <t>PON</t>
  </si>
  <si>
    <t>WAGE</t>
  </si>
  <si>
    <t>KLIWON</t>
  </si>
  <si>
    <t>Laku Pandita Sakti, Sumur Sinaba</t>
  </si>
  <si>
    <t>Laku Bulan, Wiesa Segara</t>
  </si>
  <si>
    <t>Aras Kembang, Bumi Kapetak</t>
  </si>
  <si>
    <t>Laku Angin, Satria Wibawa</t>
  </si>
  <si>
    <t>Laku Bintang, Lebu Ketiup Angin</t>
  </si>
  <si>
    <t>Laku Angin,
Tunggak Semi</t>
  </si>
  <si>
    <t>Laku Bintang, Bumi Kapetak</t>
  </si>
  <si>
    <t>Aras Tuding, Sumur Sinaba</t>
  </si>
  <si>
    <t>Laku Api, Wisesa Segara</t>
  </si>
  <si>
    <t>Aras Kembang, Satria Wirang</t>
  </si>
  <si>
    <t>Laku Pandita Sakti, Satria Wibawa</t>
  </si>
  <si>
    <t>Laku Bumi, Lebu Katiup Angin</t>
  </si>
  <si>
    <t>Aras Kembang, Sumur Sinaba</t>
  </si>
  <si>
    <t>Laku Air, Wisesa Segara</t>
  </si>
  <si>
    <t>Laku Bulan, Bumi Kapetak</t>
  </si>
  <si>
    <t>Aras Tuding,  Satria Wibawa</t>
  </si>
  <si>
    <t>Laku Surya, Lebu Katiup Angin</t>
  </si>
  <si>
    <t>Laku Bintang, Satria Wibawa</t>
  </si>
  <si>
    <t>Laku Surya, Satria Wirang</t>
  </si>
  <si>
    <t>Aras Kembang,
Tunggak Semi</t>
  </si>
  <si>
    <t>Laku Air, Bumi Kapetak</t>
  </si>
  <si>
    <t>Jumat</t>
  </si>
  <si>
    <t>Aras Tuding, Satria Wirang</t>
  </si>
  <si>
    <t>Laku Surya, Tunggak Semi</t>
  </si>
  <si>
    <t>Laku Bintang, Lebu Katiup Angin</t>
  </si>
  <si>
    <t>Laku Bulan, Wisesa Segara</t>
  </si>
  <si>
    <t>Laku Api, Satria Wibawa</t>
  </si>
  <si>
    <t>Laku Bintang, Satria Wirang</t>
  </si>
  <si>
    <t>Laku Bumi, Tunggak Semi</t>
  </si>
  <si>
    <t>Keterangan</t>
  </si>
  <si>
    <t>Pelelintangan 10 Model</t>
  </si>
  <si>
    <t>Pekerjaan</t>
  </si>
  <si>
    <t>Laku Bumi</t>
  </si>
  <si>
    <t>Pendiam, Lambat</t>
  </si>
  <si>
    <t>Pustakawan / Penata Informasi, Arsiparis / Dokumentasi, Penulis / Editor</t>
  </si>
  <si>
    <t>Laku Api</t>
  </si>
  <si>
    <t>Emosional, tidak suka direndahkan</t>
  </si>
  <si>
    <t>Pekerja Kreatif / Artistik (Seniman, Desainer, Penulis, Editor), Konselor / Psikolog / Pekerja Sosial, Pekerjaan Mandiri / Freelance</t>
  </si>
  <si>
    <t>Laku Angin</t>
  </si>
  <si>
    <t>Mudah Berubah, aktif, mengembara</t>
  </si>
  <si>
    <t>Jurnalis / Reporter Lapangan / Dokumenteris, Digital Nomad / Freelancer Global (seperti Desainer Grafis, Copywriter, Konsultan), Pemandu Wisata / Tour Leader / Travel Content Creator</t>
  </si>
  <si>
    <t>Laku Pandita Sakti</t>
  </si>
  <si>
    <t>Cerdas, angkuh, suka hal gaib</t>
  </si>
  <si>
    <t xml:space="preserve">Penulis atau Peneliti di Bidang Filsafat / Psikologi / Metafisika, Praktisi Spiritual Modern (seperti Konselor Energi, Reiki Master, Tarot Reader Profesional), Dosen / Pembicara Ilmu Alternatif atau Kajian Lintas Budaya / Spiritual, </t>
  </si>
  <si>
    <t>Laku Bintang</t>
  </si>
  <si>
    <t>Kalem, lemah lembut, Pendirian Kuat</t>
  </si>
  <si>
    <t xml:space="preserve"> Konselor / Psikolog, Mediator / Negosiator, Guru / Pembimbing Spiritual atau Etika</t>
  </si>
  <si>
    <t>Laku Bulan</t>
  </si>
  <si>
    <t>Cekatan, Mudah bergaul, Agak malas</t>
  </si>
  <si>
    <t>Public Relations / Humas, Event Organizer, Content Creator / Influencer</t>
  </si>
  <si>
    <t>Laku Surya</t>
  </si>
  <si>
    <t>Cerdas Sopan, berwibawa, mencerahkan</t>
  </si>
  <si>
    <t xml:space="preserve"> Dosen / Guru Besar / Pengajar Profesional, Diplomat / Konsultan Senior, Pemimpin Organisasi / Direktur Lembaga Sosial atau Pendidikan</t>
  </si>
  <si>
    <t>Laku Air</t>
  </si>
  <si>
    <t>Lembut, Santun, Kepemimpinan, berselisih</t>
  </si>
  <si>
    <t>Mediator / Konsultan Resolusi Konflik, Manajer SDM atau Kepala Divisi Organisasi Sosial, Pemuka Komunitas / Pendidik di Bidang Nilai &amp; Etika</t>
  </si>
  <si>
    <t>Aras Tuding</t>
  </si>
  <si>
    <t>Tegas, berani, Sosial bernafsu</t>
  </si>
  <si>
    <t xml:space="preserve">Public Relations / Spokesperson,Pengacara / Aktivis Hukum,  Entrepreneur / Pemimpin Startup, </t>
  </si>
  <si>
    <t>Aras kembang</t>
  </si>
  <si>
    <t>Banyak kawan, sosial, penyelesai masalah</t>
  </si>
  <si>
    <t>Konselor / Mediator, Customer Relations / Community Manager, Event Organizer / Koordinator Komunitas</t>
  </si>
  <si>
    <t>Wisesa Segara</t>
  </si>
  <si>
    <t>Berpengaruh, pemaaf</t>
  </si>
  <si>
    <t>General Manager (GM) – Perusahaan / Hotel / Resort,  Human Resources Director (HRD), Head of CSR (Corporate Social Responsibility),Mediator Profesional / Konsultan Mediasi Konflik, Spiritual Leader / Konselor Keagamaan, Public Figure / Aktivis Sosial / Influencer Nilai Positif, Life Coach / Motivator, Direktur NGO atau Yayasan Sosial</t>
  </si>
  <si>
    <t>Tunggak Semi</t>
  </si>
  <si>
    <t>Angkuh, berselisih, keras hati</t>
  </si>
  <si>
    <t>Litigator / Pengacara Senior,Politikus / Anggota Parlemen, CEO / Founder Perusahaan Start-Up, Kepala Satgas / Penegak Aturan (misalnya: Satpol PP, Tim Audit Internal, Investigator), Kritikus Profesional (Film, Seni, Makanan), Komandan Militer / Kepolisian, Pemimpin Serikat Pekerja / Aktivis Perjuangan Hak.</t>
  </si>
  <si>
    <t>Keterangan Peleintangan 7 Model</t>
  </si>
  <si>
    <t>Satria Wibawa</t>
  </si>
  <si>
    <t>Kesatria, Senang, terbuka</t>
  </si>
  <si>
    <t>Pemimpin Tim / Supervisor yang Humanis, Motivator / Trainer / Coach, Public Relations Officer / Komunikator Publik, Guru / Dosen Inspiratif, Petugas Layanan Sosial / Psikolog Komunitas, Relawan Kemanusiaan / Aktivis, Manajer SDM (Human Capital Manager)</t>
  </si>
  <si>
    <t>Sumur Sinaba</t>
  </si>
  <si>
    <t>Emosional, Kecewa, bergejolak</t>
  </si>
  <si>
    <t>Seniman (Pelukis, Penulis, Pemusik, Aktor), Penulis Novel / Puisi / Jurnalis Esai Pribadi, Psikolog / Konselor / Terapis, Relawan Trauma Healing / Pekerja Sosial, Penyiar / Podcaster Tema Emosional atau Sosial, Terapi Ekspresif (Art Therapy / Musik / Drama),Konsultan Spiritualitas / Penceramah Jiwa</t>
  </si>
  <si>
    <t>Bumi Kapetak</t>
  </si>
  <si>
    <t>Ulet, Meditative, Malas Keluar</t>
  </si>
  <si>
    <t>Peneliti / Riset Data / Data Analyst,Programmer / Web Developer / Software Engineer (Remote), Penulis Konten / Ghostwriter / Editor Buku, Desainer Grafis / Ilustrator Freelance,  Pekerja Administrasi / Data Entry (Freelance atau Tetap),  Ahli Keuangan / Akuntan (Terutama Freelance atau Konsultan), Pembuat Kerajinan Tangan / Handmade Artisan, Digital Marketer (SEO Specialist / Ads Manager)</t>
  </si>
  <si>
    <t>Lebu Katiup Angin</t>
  </si>
  <si>
    <t>Goyah, sengsara, sulit dipuaskan</t>
  </si>
  <si>
    <t>Pekerja Sosial / Konselor / Pendamping Trauma, Seniman / Penulis Fiksi / Penyair, Aktivis Sosial / Lingkungan / HAM, Peneliti Filosofi / Spiritualitas / Psikologi Eksistensial, Pekerja Nonprofit / NGO di Wilayah Krisis, Penulis Buku Memoar / Inspirasi</t>
  </si>
  <si>
    <t>Satria Wirang</t>
  </si>
  <si>
    <t>Emosional</t>
  </si>
  <si>
    <t>Pekerjaan di Bidang Sosial &amp; Kemanusiaan, Bidang Seni &amp; Kreatif, Profesi di Dunia Kesehatan &amp; Perawatan, Pendidikan &amp; Pengasuhan, Event Planner / Customer Service Premium, Pekerja NGO / Relawan</t>
  </si>
  <si>
    <t>test formula</t>
  </si>
  <si>
    <t>Penjelasan</t>
  </si>
  <si>
    <t>Pahing</t>
  </si>
  <si>
    <t>Aras Kembang</t>
  </si>
  <si>
    <t>Watak1</t>
  </si>
  <si>
    <t>Watak2</t>
  </si>
  <si>
    <t>Arti1</t>
  </si>
  <si>
    <t>Arti2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</si>
</sst>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name val="Times New Roman"/>
      <family val="1"/>
    </font>
    <font>
      <sz val="12"/>
      <color rgb="FF000000"/>
      <name val="Calibri"/>
      <family val="2"/>
      <scheme val="minor"/>
    </font>
    <font>
      <sz val="12"/>
      <name val="Calibri"/>
      <family val="2"/>
      <scheme val="minor"/>
    </font>
    <font>
      <sz val="12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/>
    <xf numFmtId="0" fontId="4" fillId="0" borderId="1" xfId="0" applyFont="1" applyBorder="1" applyProtection="1">
      <protection hidden="1"/>
    </xf>
    <xf numFmtId="0" fontId="1" fillId="2" borderId="2" xfId="0" applyFont="1" applyFill="1" applyBorder="1" applyAlignment="1">
      <alignment horizontal="left" vertical="center"/>
    </xf>
    <xf numFmtId="0" fontId="1" fillId="2" borderId="2" xfId="0" applyFont="1" applyFill="1" applyBorder="1"/>
    <xf numFmtId="0" fontId="3" fillId="2" borderId="3" xfId="0" applyFont="1" applyFill="1" applyBorder="1" applyAlignment="1">
      <alignment horizontal="left" vertical="center"/>
    </xf>
    <xf numFmtId="0" fontId="0" fillId="0" borderId="3" xfId="0" applyBorder="1" applyAlignment="1">
      <alignment vertical="center" wrapText="1"/>
    </xf>
    <xf numFmtId="0" fontId="0" fillId="0" borderId="3" xfId="0" applyBorder="1" applyAlignment="1">
      <alignment wrapText="1"/>
    </xf>
    <xf numFmtId="0" fontId="0" fillId="0" borderId="3" xfId="0" applyBorder="1" applyAlignment="1">
      <alignment horizontal="left" vertical="center" wrapText="1"/>
    </xf>
    <xf numFmtId="0" fontId="3" fillId="2" borderId="4" xfId="0" applyFont="1" applyFill="1" applyBorder="1" applyAlignment="1">
      <alignment horizontal="left" vertical="center"/>
    </xf>
    <xf numFmtId="0" fontId="0" fillId="0" borderId="4" xfId="0" applyBorder="1" applyAlignment="1">
      <alignment vertical="center" wrapText="1"/>
    </xf>
    <xf numFmtId="0" fontId="0" fillId="0" borderId="4" xfId="0" applyBorder="1" applyAlignment="1">
      <alignment horizontal="left" vertical="center" wrapText="1"/>
    </xf>
    <xf numFmtId="0" fontId="0" fillId="0" borderId="4" xfId="0" applyBorder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0" fillId="0" borderId="4" xfId="0" applyBorder="1" applyAlignment="1">
      <alignment wrapText="1"/>
    </xf>
    <xf numFmtId="0" fontId="0" fillId="0" borderId="4" xfId="0" applyBorder="1" applyAlignment="1">
      <alignment horizontal="left" wrapText="1"/>
    </xf>
    <xf numFmtId="0" fontId="3" fillId="2" borderId="0" xfId="0" applyFont="1" applyFill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vertic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baktanarta/Documents/Revenue%20Management/Other/%20Harani%20Nama.xlsm" TargetMode="External"/><Relationship Id="rId1" Type="http://schemas.openxmlformats.org/officeDocument/2006/relationships/externalLinkPath" Target="/Users/baktanarta/Documents/Revenue%20Management/Other/%20Harani%20Nama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STER"/>
      <sheetName val="FORM"/>
      <sheetName val="FENGSHUI"/>
      <sheetName val="Shio_Unsur_1900_2050"/>
      <sheetName val="ENTRY"/>
      <sheetName val="HARANI"/>
      <sheetName val="Phytagoras"/>
      <sheetName val="Rejeki"/>
      <sheetName val="TABEL-WUKU"/>
      <sheetName val="PADMABhuana"/>
      <sheetName val="Pasaran"/>
      <sheetName val="Hari"/>
      <sheetName val="Palelintangan"/>
      <sheetName val="ANALISAP"/>
      <sheetName val="METODEPHYTAGORAS"/>
      <sheetName val="Nama"/>
      <sheetName val="CALC"/>
      <sheetName val="DuaPerson"/>
      <sheetName val="PPhytagoras"/>
      <sheetName val="Matrix-Nasib"/>
      <sheetName val="COMBANGKA"/>
      <sheetName val="KARAKTER"/>
      <sheetName val="TerapiNum"/>
      <sheetName val="UripWuku"/>
      <sheetName val="SASIH"/>
      <sheetName val="HASIL"/>
      <sheetName val="WUKU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53">
          <cell r="K53" t="str">
            <v>Senin</v>
          </cell>
        </row>
        <row r="60">
          <cell r="K60" t="str">
            <v>Pon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blipFill>
          <a:blip xmlns:r="http://schemas.openxmlformats.org/officeDocument/2006/relationships" r:embed="rId1"/>
          <a:tile tx="0" ty="0" sx="100000" sy="100000" flip="none" algn="tl"/>
        </a:blipFill>
        <a:ln cap="flat">
          <a:solidFill>
            <a:schemeClr val="accent6"/>
          </a:solidFill>
          <a:miter lim="800000"/>
        </a:ln>
        <a:effectLst>
          <a:outerShdw blurRad="50800" dist="38100" algn="l" rotWithShape="0">
            <a:prstClr val="black">
              <a:alpha val="40000"/>
            </a:prstClr>
          </a:outerShdw>
        </a:effectLst>
      </a:spPr>
      <a:bodyPr vertOverflow="clip" horzOverflow="clip" wrap="square" rtlCol="0" anchor="t">
        <a:spAutoFit/>
      </a:bodyPr>
      <a:lstStyle>
        <a:defPPr algn="l">
          <a:defRPr sz="1400" b="0" i="0" u="none" strike="noStrike">
            <a:ln>
              <a:noFill/>
            </a:ln>
            <a:solidFill>
              <a:srgbClr val="FF0000"/>
            </a:solidFill>
            <a:latin typeface="Calibri"/>
            <a:cs typeface="Calibri"/>
          </a:defRPr>
        </a:defPPr>
      </a:lstStyle>
      <a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a:style>
    </a:spDef>
    <a:txDef>
      <a:spPr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a:spPr>
      <a:bodyPr vertOverflow="clip" horzOverflow="clip" wrap="square" rtlCol="0" anchor="t"/>
      <a:lstStyle>
        <a:defPPr algn="l">
          <a:defRPr sz="1200" b="0" i="0" u="none" strike="noStrike">
            <a:solidFill>
              <a:srgbClr val="000000"/>
            </a:solidFill>
            <a:latin typeface="Calibri"/>
            <a:cs typeface="Calibri"/>
          </a:defRPr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F38DC-1507-3E47-972A-671140F2096F}">
  <sheetPr codeName="Sheet14"/>
  <dimension ref="A1:K73"/>
  <sheetViews>
    <sheetView tabSelected="1" workbookViewId="0">
      <selection activeCell="B2" sqref="B2:B36"/>
    </sheetView>
  </sheetViews>
  <sheetFormatPr baseColWidth="10" defaultRowHeight="16" x14ac:dyDescent="0.2"/>
  <cols>
    <col min="3" max="3" width="23.83203125" bestFit="1" customWidth="1"/>
    <col min="4" max="4" width="87.5" bestFit="1" customWidth="1"/>
    <col min="5" max="5" width="29.33203125" bestFit="1" customWidth="1"/>
    <col min="6" max="6" width="37" bestFit="1" customWidth="1"/>
    <col min="7" max="7" width="24.6640625" customWidth="1"/>
    <col min="8" max="8" width="14.5" customWidth="1"/>
    <col min="9" max="9" width="17.6640625" customWidth="1"/>
    <col min="10" max="10" width="17.5" customWidth="1"/>
    <col min="11" max="11" width="18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2" t="s">
        <v>175</v>
      </c>
      <c r="E1" s="1" t="s">
        <v>178</v>
      </c>
      <c r="F1" s="1" t="s">
        <v>180</v>
      </c>
      <c r="G1" s="1" t="s">
        <v>179</v>
      </c>
      <c r="H1" s="1" t="s">
        <v>181</v>
      </c>
    </row>
    <row r="2" spans="1:8" x14ac:dyDescent="0.2">
      <c r="A2" t="s">
        <v>3</v>
      </c>
      <c r="B2" t="s">
        <v>4</v>
      </c>
      <c r="C2" t="s">
        <v>5</v>
      </c>
      <c r="D2" t="s">
        <v>6</v>
      </c>
      <c r="E2" t="s">
        <v>131</v>
      </c>
      <c r="F2" t="str">
        <f>VLOOKUP(E2,$F$49:$H$65,2,FALSE)</f>
        <v>Cerdas, angkuh, suka hal gaib</v>
      </c>
      <c r="G2" t="s">
        <v>162</v>
      </c>
      <c r="H2" t="str">
        <f>VLOOKUP(G2,$F$49:$H$65,3,FALSE)</f>
        <v>Seniman (Pelukis, Penulis, Pemusik, Aktor), Penulis Novel / Puisi / Jurnalis Esai Pribadi, Psikolog / Konselor / Terapis, Relawan Trauma Healing / Pekerja Sosial, Penyiar / Podcaster Tema Emosional atau Sosial, Terapi Ekspresif (Art Therapy / Musik / Drama),Konsultan Spiritualitas / Penceramah Jiwa</v>
      </c>
    </row>
    <row r="3" spans="1:8" x14ac:dyDescent="0.2">
      <c r="A3" t="s">
        <v>3</v>
      </c>
      <c r="B3" t="s">
        <v>176</v>
      </c>
      <c r="C3" t="s">
        <v>7</v>
      </c>
      <c r="D3" t="s">
        <v>8</v>
      </c>
      <c r="E3" t="s">
        <v>137</v>
      </c>
      <c r="F3" t="str">
        <f t="shared" ref="F3:F36" si="0">VLOOKUP(E3,$F$49:$H$65,2,FALSE)</f>
        <v>Cekatan, Mudah bergaul, Agak malas</v>
      </c>
      <c r="G3" t="s">
        <v>152</v>
      </c>
      <c r="H3" t="str">
        <f t="shared" ref="H3:H36" si="1">VLOOKUP(G3,$F$49:$H$65,3,FALSE)</f>
        <v>General Manager (GM) – Perusahaan / Hotel / Resort,  Human Resources Director (HRD), Head of CSR (Corporate Social Responsibility),Mediator Profesional / Konsultan Mediasi Konflik, Spiritual Leader / Konselor Keagamaan, Public Figure / Aktivis Sosial / Influencer Nilai Positif, Life Coach / Motivator, Direktur NGO atau Yayasan Sosial</v>
      </c>
    </row>
    <row r="4" spans="1:8" x14ac:dyDescent="0.2">
      <c r="A4" t="s">
        <v>3</v>
      </c>
      <c r="B4" t="s">
        <v>9</v>
      </c>
      <c r="C4" t="s">
        <v>10</v>
      </c>
      <c r="D4" t="s">
        <v>11</v>
      </c>
      <c r="E4" t="s">
        <v>177</v>
      </c>
      <c r="F4" t="str">
        <f t="shared" si="0"/>
        <v>Banyak kawan, sosial, penyelesai masalah</v>
      </c>
      <c r="G4" t="s">
        <v>165</v>
      </c>
      <c r="H4" t="str">
        <f t="shared" si="1"/>
        <v>Peneliti / Riset Data / Data Analyst,Programmer / Web Developer / Software Engineer (Remote), Penulis Konten / Ghostwriter / Editor Buku, Desainer Grafis / Ilustrator Freelance,  Pekerja Administrasi / Data Entry (Freelance atau Tetap),  Ahli Keuangan / Akuntan (Terutama Freelance atau Konsultan), Pembuat Kerajinan Tangan / Handmade Artisan, Digital Marketer (SEO Specialist / Ads Manager)</v>
      </c>
    </row>
    <row r="5" spans="1:8" x14ac:dyDescent="0.2">
      <c r="A5" t="s">
        <v>3</v>
      </c>
      <c r="B5" t="s">
        <v>12</v>
      </c>
      <c r="C5" t="s">
        <v>13</v>
      </c>
      <c r="D5" t="s">
        <v>14</v>
      </c>
      <c r="E5" t="s">
        <v>128</v>
      </c>
      <c r="F5" t="str">
        <f t="shared" si="0"/>
        <v>Mudah Berubah, aktif, mengembara</v>
      </c>
      <c r="G5" t="s">
        <v>159</v>
      </c>
      <c r="H5" t="str">
        <f t="shared" si="1"/>
        <v>Pemimpin Tim / Supervisor yang Humanis, Motivator / Trainer / Coach, Public Relations Officer / Komunikator Publik, Guru / Dosen Inspiratif, Petugas Layanan Sosial / Psikolog Komunitas, Relawan Kemanusiaan / Aktivis, Manajer SDM (Human Capital Manager)</v>
      </c>
    </row>
    <row r="6" spans="1:8" x14ac:dyDescent="0.2">
      <c r="A6" t="s">
        <v>3</v>
      </c>
      <c r="B6" t="s">
        <v>15</v>
      </c>
      <c r="C6" t="s">
        <v>16</v>
      </c>
      <c r="D6" t="s">
        <v>17</v>
      </c>
      <c r="E6" t="s">
        <v>134</v>
      </c>
      <c r="F6" t="str">
        <f t="shared" si="0"/>
        <v>Kalem, lemah lembut, Pendirian Kuat</v>
      </c>
      <c r="G6" t="s">
        <v>168</v>
      </c>
      <c r="H6" t="str">
        <f t="shared" si="1"/>
        <v>Pekerja Sosial / Konselor / Pendamping Trauma, Seniman / Penulis Fiksi / Penyair, Aktivis Sosial / Lingkungan / HAM, Peneliti Filosofi / Spiritualitas / Psikologi Eksistensial, Pekerja Nonprofit / NGO di Wilayah Krisis, Penulis Buku Memoar / Inspirasi</v>
      </c>
    </row>
    <row r="7" spans="1:8" x14ac:dyDescent="0.2">
      <c r="A7" t="s">
        <v>18</v>
      </c>
      <c r="B7" t="s">
        <v>4</v>
      </c>
      <c r="C7" t="s">
        <v>19</v>
      </c>
      <c r="D7" t="s">
        <v>20</v>
      </c>
      <c r="E7" t="s">
        <v>128</v>
      </c>
      <c r="F7" t="str">
        <f t="shared" si="0"/>
        <v>Mudah Berubah, aktif, mengembara</v>
      </c>
      <c r="G7" t="s">
        <v>155</v>
      </c>
      <c r="H7" t="str">
        <f t="shared" si="1"/>
        <v>Litigator / Pengacara Senior,Politikus / Anggota Parlemen, CEO / Founder Perusahaan Start-Up, Kepala Satgas / Penegak Aturan (misalnya: Satpol PP, Tim Audit Internal, Investigator), Kritikus Profesional (Film, Seni, Makanan), Komandan Militer / Kepolisian, Pemimpin Serikat Pekerja / Aktivis Perjuangan Hak.</v>
      </c>
    </row>
    <row r="8" spans="1:8" x14ac:dyDescent="0.2">
      <c r="A8" t="s">
        <v>18</v>
      </c>
      <c r="B8" t="s">
        <v>176</v>
      </c>
      <c r="C8" t="s">
        <v>21</v>
      </c>
      <c r="D8" t="s">
        <v>22</v>
      </c>
      <c r="E8" t="s">
        <v>134</v>
      </c>
      <c r="F8" t="str">
        <f t="shared" si="0"/>
        <v>Kalem, lemah lembut, Pendirian Kuat</v>
      </c>
      <c r="G8" t="s">
        <v>165</v>
      </c>
      <c r="H8" t="str">
        <f t="shared" si="1"/>
        <v>Peneliti / Riset Data / Data Analyst,Programmer / Web Developer / Software Engineer (Remote), Penulis Konten / Ghostwriter / Editor Buku, Desainer Grafis / Ilustrator Freelance,  Pekerja Administrasi / Data Entry (Freelance atau Tetap),  Ahli Keuangan / Akuntan (Terutama Freelance atau Konsultan), Pembuat Kerajinan Tangan / Handmade Artisan, Digital Marketer (SEO Specialist / Ads Manager)</v>
      </c>
    </row>
    <row r="9" spans="1:8" x14ac:dyDescent="0.2">
      <c r="A9" t="s">
        <v>18</v>
      </c>
      <c r="B9" t="s">
        <v>9</v>
      </c>
      <c r="C9" t="s">
        <v>23</v>
      </c>
      <c r="D9" t="s">
        <v>24</v>
      </c>
      <c r="E9" t="s">
        <v>146</v>
      </c>
      <c r="F9" t="str">
        <f t="shared" si="0"/>
        <v>Tegas, berani, Sosial bernafsu</v>
      </c>
      <c r="G9" t="s">
        <v>162</v>
      </c>
      <c r="H9" t="str">
        <f t="shared" si="1"/>
        <v>Seniman (Pelukis, Penulis, Pemusik, Aktor), Penulis Novel / Puisi / Jurnalis Esai Pribadi, Psikolog / Konselor / Terapis, Relawan Trauma Healing / Pekerja Sosial, Penyiar / Podcaster Tema Emosional atau Sosial, Terapi Ekspresif (Art Therapy / Musik / Drama),Konsultan Spiritualitas / Penceramah Jiwa</v>
      </c>
    </row>
    <row r="10" spans="1:8" x14ac:dyDescent="0.2">
      <c r="A10" t="s">
        <v>18</v>
      </c>
      <c r="B10" t="s">
        <v>12</v>
      </c>
      <c r="C10" t="s">
        <v>25</v>
      </c>
      <c r="D10" t="s">
        <v>26</v>
      </c>
      <c r="E10" t="s">
        <v>125</v>
      </c>
      <c r="F10" t="str">
        <f t="shared" si="0"/>
        <v>Emosional, tidak suka direndahkan</v>
      </c>
      <c r="G10" t="s">
        <v>152</v>
      </c>
      <c r="H10" t="str">
        <f t="shared" si="1"/>
        <v>General Manager (GM) – Perusahaan / Hotel / Resort,  Human Resources Director (HRD), Head of CSR (Corporate Social Responsibility),Mediator Profesional / Konsultan Mediasi Konflik, Spiritual Leader / Konselor Keagamaan, Public Figure / Aktivis Sosial / Influencer Nilai Positif, Life Coach / Motivator, Direktur NGO atau Yayasan Sosial</v>
      </c>
    </row>
    <row r="11" spans="1:8" x14ac:dyDescent="0.2">
      <c r="A11" t="s">
        <v>18</v>
      </c>
      <c r="B11" t="s">
        <v>15</v>
      </c>
      <c r="C11" t="s">
        <v>27</v>
      </c>
      <c r="D11" t="s">
        <v>28</v>
      </c>
      <c r="E11" t="s">
        <v>177</v>
      </c>
      <c r="F11" t="str">
        <f t="shared" si="0"/>
        <v>Banyak kawan, sosial, penyelesai masalah</v>
      </c>
      <c r="G11" t="s">
        <v>171</v>
      </c>
      <c r="H11" t="str">
        <f t="shared" si="1"/>
        <v>Pekerjaan di Bidang Sosial &amp; Kemanusiaan, Bidang Seni &amp; Kreatif, Profesi di Dunia Kesehatan &amp; Perawatan, Pendidikan &amp; Pengasuhan, Event Planner / Customer Service Premium, Pekerja NGO / Relawan</v>
      </c>
    </row>
    <row r="12" spans="1:8" x14ac:dyDescent="0.2">
      <c r="A12" t="s">
        <v>29</v>
      </c>
      <c r="B12" t="s">
        <v>4</v>
      </c>
      <c r="C12" t="s">
        <v>30</v>
      </c>
      <c r="D12" t="s">
        <v>31</v>
      </c>
      <c r="E12" t="s">
        <v>125</v>
      </c>
      <c r="F12" t="str">
        <f t="shared" si="0"/>
        <v>Emosional, tidak suka direndahkan</v>
      </c>
      <c r="G12" t="s">
        <v>152</v>
      </c>
      <c r="H12" t="str">
        <f t="shared" si="1"/>
        <v>General Manager (GM) – Perusahaan / Hotel / Resort,  Human Resources Director (HRD), Head of CSR (Corporate Social Responsibility),Mediator Profesional / Konsultan Mediasi Konflik, Spiritual Leader / Konselor Keagamaan, Public Figure / Aktivis Sosial / Influencer Nilai Positif, Life Coach / Motivator, Direktur NGO atau Yayasan Sosial</v>
      </c>
    </row>
    <row r="13" spans="1:8" x14ac:dyDescent="0.2">
      <c r="A13" t="s">
        <v>29</v>
      </c>
      <c r="B13" t="s">
        <v>176</v>
      </c>
      <c r="C13" t="s">
        <v>32</v>
      </c>
      <c r="D13" t="s">
        <v>33</v>
      </c>
      <c r="E13" t="s">
        <v>177</v>
      </c>
      <c r="F13" t="str">
        <f t="shared" si="0"/>
        <v>Banyak kawan, sosial, penyelesai masalah</v>
      </c>
      <c r="G13" t="s">
        <v>171</v>
      </c>
      <c r="H13" t="str">
        <f t="shared" si="1"/>
        <v>Pekerjaan di Bidang Sosial &amp; Kemanusiaan, Bidang Seni &amp; Kreatif, Profesi di Dunia Kesehatan &amp; Perawatan, Pendidikan &amp; Pengasuhan, Event Planner / Customer Service Premium, Pekerja NGO / Relawan</v>
      </c>
    </row>
    <row r="14" spans="1:8" x14ac:dyDescent="0.2">
      <c r="A14" t="s">
        <v>29</v>
      </c>
      <c r="B14" t="s">
        <v>9</v>
      </c>
      <c r="C14" t="s">
        <v>34</v>
      </c>
      <c r="D14" t="s">
        <v>35</v>
      </c>
      <c r="E14" t="s">
        <v>131</v>
      </c>
      <c r="F14" t="str">
        <f t="shared" si="0"/>
        <v>Cerdas, angkuh, suka hal gaib</v>
      </c>
      <c r="G14" t="s">
        <v>159</v>
      </c>
      <c r="H14" t="str">
        <f t="shared" si="1"/>
        <v>Pemimpin Tim / Supervisor yang Humanis, Motivator / Trainer / Coach, Public Relations Officer / Komunikator Publik, Guru / Dosen Inspiratif, Petugas Layanan Sosial / Psikolog Komunitas, Relawan Kemanusiaan / Aktivis, Manajer SDM (Human Capital Manager)</v>
      </c>
    </row>
    <row r="15" spans="1:8" x14ac:dyDescent="0.2">
      <c r="A15" t="s">
        <v>29</v>
      </c>
      <c r="B15" t="s">
        <v>12</v>
      </c>
      <c r="C15" t="s">
        <v>36</v>
      </c>
      <c r="D15" t="s">
        <v>37</v>
      </c>
      <c r="E15" t="s">
        <v>122</v>
      </c>
      <c r="F15" t="str">
        <f t="shared" si="0"/>
        <v>Pendiam, Lambat</v>
      </c>
      <c r="G15" t="s">
        <v>168</v>
      </c>
      <c r="H15" t="str">
        <f t="shared" si="1"/>
        <v>Pekerja Sosial / Konselor / Pendamping Trauma, Seniman / Penulis Fiksi / Penyair, Aktivis Sosial / Lingkungan / HAM, Peneliti Filosofi / Spiritualitas / Psikologi Eksistensial, Pekerja Nonprofit / NGO di Wilayah Krisis, Penulis Buku Memoar / Inspirasi</v>
      </c>
    </row>
    <row r="16" spans="1:8" x14ac:dyDescent="0.2">
      <c r="A16" t="s">
        <v>29</v>
      </c>
      <c r="B16" t="s">
        <v>15</v>
      </c>
      <c r="C16" t="s">
        <v>38</v>
      </c>
      <c r="D16" t="s">
        <v>39</v>
      </c>
      <c r="E16" t="s">
        <v>146</v>
      </c>
      <c r="F16" t="str">
        <f t="shared" si="0"/>
        <v>Tegas, berani, Sosial bernafsu</v>
      </c>
      <c r="G16" t="s">
        <v>162</v>
      </c>
      <c r="H16" t="str">
        <f t="shared" si="1"/>
        <v>Seniman (Pelukis, Penulis, Pemusik, Aktor), Penulis Novel / Puisi / Jurnalis Esai Pribadi, Psikolog / Konselor / Terapis, Relawan Trauma Healing / Pekerja Sosial, Penyiar / Podcaster Tema Emosional atau Sosial, Terapi Ekspresif (Art Therapy / Musik / Drama),Konsultan Spiritualitas / Penceramah Jiwa</v>
      </c>
    </row>
    <row r="17" spans="1:8" x14ac:dyDescent="0.2">
      <c r="A17" t="s">
        <v>40</v>
      </c>
      <c r="B17" t="s">
        <v>4</v>
      </c>
      <c r="C17" t="s">
        <v>41</v>
      </c>
      <c r="D17" t="s">
        <v>42</v>
      </c>
      <c r="E17" t="s">
        <v>177</v>
      </c>
      <c r="F17" t="str">
        <f t="shared" si="0"/>
        <v>Banyak kawan, sosial, penyelesai masalah</v>
      </c>
      <c r="G17" t="s">
        <v>162</v>
      </c>
      <c r="H17" t="str">
        <f t="shared" si="1"/>
        <v>Seniman (Pelukis, Penulis, Pemusik, Aktor), Penulis Novel / Puisi / Jurnalis Esai Pribadi, Psikolog / Konselor / Terapis, Relawan Trauma Healing / Pekerja Sosial, Penyiar / Podcaster Tema Emosional atau Sosial, Terapi Ekspresif (Art Therapy / Musik / Drama),Konsultan Spiritualitas / Penceramah Jiwa</v>
      </c>
    </row>
    <row r="18" spans="1:8" x14ac:dyDescent="0.2">
      <c r="A18" t="s">
        <v>40</v>
      </c>
      <c r="B18" t="s">
        <v>176</v>
      </c>
      <c r="C18" t="s">
        <v>43</v>
      </c>
      <c r="D18" t="s">
        <v>44</v>
      </c>
      <c r="E18" t="s">
        <v>143</v>
      </c>
      <c r="F18" t="str">
        <f t="shared" si="0"/>
        <v>Lembut, Santun, Kepemimpinan, berselisih</v>
      </c>
      <c r="G18" t="s">
        <v>152</v>
      </c>
      <c r="H18" t="str">
        <f t="shared" si="1"/>
        <v>General Manager (GM) – Perusahaan / Hotel / Resort,  Human Resources Director (HRD), Head of CSR (Corporate Social Responsibility),Mediator Profesional / Konsultan Mediasi Konflik, Spiritual Leader / Konselor Keagamaan, Public Figure / Aktivis Sosial / Influencer Nilai Positif, Life Coach / Motivator, Direktur NGO atau Yayasan Sosial</v>
      </c>
    </row>
    <row r="19" spans="1:8" x14ac:dyDescent="0.2">
      <c r="A19" t="s">
        <v>40</v>
      </c>
      <c r="B19" t="s">
        <v>9</v>
      </c>
      <c r="C19" t="s">
        <v>45</v>
      </c>
      <c r="D19" t="s">
        <v>46</v>
      </c>
      <c r="E19" t="s">
        <v>137</v>
      </c>
      <c r="F19" t="str">
        <f t="shared" si="0"/>
        <v>Cekatan, Mudah bergaul, Agak malas</v>
      </c>
      <c r="G19" t="s">
        <v>165</v>
      </c>
      <c r="H19" t="str">
        <f t="shared" si="1"/>
        <v>Peneliti / Riset Data / Data Analyst,Programmer / Web Developer / Software Engineer (Remote), Penulis Konten / Ghostwriter / Editor Buku, Desainer Grafis / Ilustrator Freelance,  Pekerja Administrasi / Data Entry (Freelance atau Tetap),  Ahli Keuangan / Akuntan (Terutama Freelance atau Konsultan), Pembuat Kerajinan Tangan / Handmade Artisan, Digital Marketer (SEO Specialist / Ads Manager)</v>
      </c>
    </row>
    <row r="20" spans="1:8" x14ac:dyDescent="0.2">
      <c r="A20" t="s">
        <v>40</v>
      </c>
      <c r="B20" t="s">
        <v>12</v>
      </c>
      <c r="C20" t="s">
        <v>47</v>
      </c>
      <c r="D20" t="s">
        <v>48</v>
      </c>
      <c r="E20" t="s">
        <v>146</v>
      </c>
      <c r="F20" t="str">
        <f t="shared" si="0"/>
        <v>Tegas, berani, Sosial bernafsu</v>
      </c>
      <c r="G20" t="s">
        <v>159</v>
      </c>
      <c r="H20" t="str">
        <f t="shared" si="1"/>
        <v>Pemimpin Tim / Supervisor yang Humanis, Motivator / Trainer / Coach, Public Relations Officer / Komunikator Publik, Guru / Dosen Inspiratif, Petugas Layanan Sosial / Psikolog Komunitas, Relawan Kemanusiaan / Aktivis, Manajer SDM (Human Capital Manager)</v>
      </c>
    </row>
    <row r="21" spans="1:8" x14ac:dyDescent="0.2">
      <c r="A21" t="s">
        <v>40</v>
      </c>
      <c r="B21" t="s">
        <v>15</v>
      </c>
      <c r="C21" t="s">
        <v>49</v>
      </c>
      <c r="D21" t="s">
        <v>50</v>
      </c>
      <c r="E21" t="s">
        <v>140</v>
      </c>
      <c r="F21" t="str">
        <f t="shared" si="0"/>
        <v>Cerdas Sopan, berwibawa, mencerahkan</v>
      </c>
      <c r="G21" t="s">
        <v>168</v>
      </c>
      <c r="H21" t="str">
        <f t="shared" si="1"/>
        <v>Pekerja Sosial / Konselor / Pendamping Trauma, Seniman / Penulis Fiksi / Penyair, Aktivis Sosial / Lingkungan / HAM, Peneliti Filosofi / Spiritualitas / Psikologi Eksistensial, Pekerja Nonprofit / NGO di Wilayah Krisis, Penulis Buku Memoar / Inspirasi</v>
      </c>
    </row>
    <row r="22" spans="1:8" x14ac:dyDescent="0.2">
      <c r="A22" t="s">
        <v>51</v>
      </c>
      <c r="B22" t="s">
        <v>4</v>
      </c>
      <c r="C22" t="s">
        <v>52</v>
      </c>
      <c r="D22" t="s">
        <v>53</v>
      </c>
      <c r="E22" t="s">
        <v>134</v>
      </c>
      <c r="F22" t="str">
        <f t="shared" si="0"/>
        <v>Kalem, lemah lembut, Pendirian Kuat</v>
      </c>
      <c r="G22" t="s">
        <v>159</v>
      </c>
      <c r="H22" t="str">
        <f t="shared" si="1"/>
        <v>Pemimpin Tim / Supervisor yang Humanis, Motivator / Trainer / Coach, Public Relations Officer / Komunikator Publik, Guru / Dosen Inspiratif, Petugas Layanan Sosial / Psikolog Komunitas, Relawan Kemanusiaan / Aktivis, Manajer SDM (Human Capital Manager)</v>
      </c>
    </row>
    <row r="23" spans="1:8" x14ac:dyDescent="0.2">
      <c r="A23" t="s">
        <v>51</v>
      </c>
      <c r="B23" t="s">
        <v>176</v>
      </c>
      <c r="C23" t="s">
        <v>54</v>
      </c>
      <c r="D23" t="s">
        <v>55</v>
      </c>
      <c r="E23" t="s">
        <v>122</v>
      </c>
      <c r="F23" t="str">
        <f t="shared" si="0"/>
        <v>Pendiam, Lambat</v>
      </c>
      <c r="G23" t="s">
        <v>168</v>
      </c>
      <c r="H23" t="str">
        <f t="shared" si="1"/>
        <v>Pekerja Sosial / Konselor / Pendamping Trauma, Seniman / Penulis Fiksi / Penyair, Aktivis Sosial / Lingkungan / HAM, Peneliti Filosofi / Spiritualitas / Psikologi Eksistensial, Pekerja Nonprofit / NGO di Wilayah Krisis, Penulis Buku Memoar / Inspirasi</v>
      </c>
    </row>
    <row r="24" spans="1:8" x14ac:dyDescent="0.2">
      <c r="A24" t="s">
        <v>51</v>
      </c>
      <c r="B24" t="s">
        <v>9</v>
      </c>
      <c r="C24" t="s">
        <v>56</v>
      </c>
      <c r="D24" t="s">
        <v>57</v>
      </c>
      <c r="E24" t="s">
        <v>140</v>
      </c>
      <c r="F24" t="str">
        <f t="shared" si="0"/>
        <v>Cerdas Sopan, berwibawa, mencerahkan</v>
      </c>
      <c r="G24" t="s">
        <v>171</v>
      </c>
      <c r="H24" t="str">
        <f t="shared" si="1"/>
        <v>Pekerjaan di Bidang Sosial &amp; Kemanusiaan, Bidang Seni &amp; Kreatif, Profesi di Dunia Kesehatan &amp; Perawatan, Pendidikan &amp; Pengasuhan, Event Planner / Customer Service Premium, Pekerja NGO / Relawan</v>
      </c>
    </row>
    <row r="25" spans="1:8" x14ac:dyDescent="0.2">
      <c r="A25" t="s">
        <v>51</v>
      </c>
      <c r="B25" t="s">
        <v>12</v>
      </c>
      <c r="C25" t="s">
        <v>58</v>
      </c>
      <c r="D25" t="s">
        <v>59</v>
      </c>
      <c r="E25" t="s">
        <v>177</v>
      </c>
      <c r="F25" t="str">
        <f t="shared" si="0"/>
        <v>Banyak kawan, sosial, penyelesai masalah</v>
      </c>
      <c r="G25" t="s">
        <v>155</v>
      </c>
      <c r="H25" t="str">
        <f t="shared" si="1"/>
        <v>Litigator / Pengacara Senior,Politikus / Anggota Parlemen, CEO / Founder Perusahaan Start-Up, Kepala Satgas / Penegak Aturan (misalnya: Satpol PP, Tim Audit Internal, Investigator), Kritikus Profesional (Film, Seni, Makanan), Komandan Militer / Kepolisian, Pemimpin Serikat Pekerja / Aktivis Perjuangan Hak.</v>
      </c>
    </row>
    <row r="26" spans="1:8" x14ac:dyDescent="0.2">
      <c r="A26" t="s">
        <v>51</v>
      </c>
      <c r="B26" t="s">
        <v>15</v>
      </c>
      <c r="C26" t="s">
        <v>60</v>
      </c>
      <c r="D26" t="s">
        <v>61</v>
      </c>
      <c r="E26" t="s">
        <v>143</v>
      </c>
      <c r="F26" t="str">
        <f t="shared" si="0"/>
        <v>Lembut, Santun, Kepemimpinan, berselisih</v>
      </c>
      <c r="G26" t="s">
        <v>165</v>
      </c>
      <c r="H26" t="str">
        <f t="shared" si="1"/>
        <v>Peneliti / Riset Data / Data Analyst,Programmer / Web Developer / Software Engineer (Remote), Penulis Konten / Ghostwriter / Editor Buku, Desainer Grafis / Ilustrator Freelance,  Pekerja Administrasi / Data Entry (Freelance atau Tetap),  Ahli Keuangan / Akuntan (Terutama Freelance atau Konsultan), Pembuat Kerajinan Tangan / Handmade Artisan, Digital Marketer (SEO Specialist / Ads Manager)</v>
      </c>
    </row>
    <row r="27" spans="1:8" x14ac:dyDescent="0.2">
      <c r="A27" t="s">
        <v>62</v>
      </c>
      <c r="B27" t="s">
        <v>4</v>
      </c>
      <c r="C27" t="s">
        <v>63</v>
      </c>
      <c r="D27" t="s">
        <v>64</v>
      </c>
      <c r="E27" t="s">
        <v>146</v>
      </c>
      <c r="F27" t="str">
        <f t="shared" si="0"/>
        <v>Tegas, berani, Sosial bernafsu</v>
      </c>
      <c r="G27" t="s">
        <v>171</v>
      </c>
      <c r="H27" t="str">
        <f t="shared" si="1"/>
        <v>Pekerjaan di Bidang Sosial &amp; Kemanusiaan, Bidang Seni &amp; Kreatif, Profesi di Dunia Kesehatan &amp; Perawatan, Pendidikan &amp; Pengasuhan, Event Planner / Customer Service Premium, Pekerja NGO / Relawan</v>
      </c>
    </row>
    <row r="28" spans="1:8" x14ac:dyDescent="0.2">
      <c r="A28" t="s">
        <v>62</v>
      </c>
      <c r="B28" t="s">
        <v>176</v>
      </c>
      <c r="C28" t="s">
        <v>65</v>
      </c>
      <c r="D28" t="s">
        <v>66</v>
      </c>
      <c r="E28" t="s">
        <v>140</v>
      </c>
      <c r="F28" t="str">
        <f t="shared" si="0"/>
        <v>Cerdas Sopan, berwibawa, mencerahkan</v>
      </c>
      <c r="G28" t="s">
        <v>155</v>
      </c>
      <c r="H28" t="str">
        <f t="shared" si="1"/>
        <v>Litigator / Pengacara Senior,Politikus / Anggota Parlemen, CEO / Founder Perusahaan Start-Up, Kepala Satgas / Penegak Aturan (misalnya: Satpol PP, Tim Audit Internal, Investigator), Kritikus Profesional (Film, Seni, Makanan), Komandan Militer / Kepolisian, Pemimpin Serikat Pekerja / Aktivis Perjuangan Hak.</v>
      </c>
    </row>
    <row r="29" spans="1:8" x14ac:dyDescent="0.2">
      <c r="A29" t="s">
        <v>62</v>
      </c>
      <c r="B29" t="s">
        <v>9</v>
      </c>
      <c r="C29" t="s">
        <v>67</v>
      </c>
      <c r="D29" t="s">
        <v>68</v>
      </c>
      <c r="E29" t="s">
        <v>134</v>
      </c>
      <c r="F29" t="str">
        <f t="shared" si="0"/>
        <v>Kalem, lemah lembut, Pendirian Kuat</v>
      </c>
      <c r="G29" t="s">
        <v>168</v>
      </c>
      <c r="H29" t="str">
        <f t="shared" si="1"/>
        <v>Pekerja Sosial / Konselor / Pendamping Trauma, Seniman / Penulis Fiksi / Penyair, Aktivis Sosial / Lingkungan / HAM, Peneliti Filosofi / Spiritualitas / Psikologi Eksistensial, Pekerja Nonprofit / NGO di Wilayah Krisis, Penulis Buku Memoar / Inspirasi</v>
      </c>
    </row>
    <row r="30" spans="1:8" x14ac:dyDescent="0.2">
      <c r="A30" t="s">
        <v>62</v>
      </c>
      <c r="B30" t="s">
        <v>12</v>
      </c>
      <c r="C30" t="s">
        <v>69</v>
      </c>
      <c r="D30" t="s">
        <v>70</v>
      </c>
      <c r="E30" t="s">
        <v>131</v>
      </c>
      <c r="F30" t="str">
        <f t="shared" si="0"/>
        <v>Cerdas, angkuh, suka hal gaib</v>
      </c>
      <c r="G30" t="s">
        <v>162</v>
      </c>
      <c r="H30" t="str">
        <f t="shared" si="1"/>
        <v>Seniman (Pelukis, Penulis, Pemusik, Aktor), Penulis Novel / Puisi / Jurnalis Esai Pribadi, Psikolog / Konselor / Terapis, Relawan Trauma Healing / Pekerja Sosial, Penyiar / Podcaster Tema Emosional atau Sosial, Terapi Ekspresif (Art Therapy / Musik / Drama),Konsultan Spiritualitas / Penceramah Jiwa</v>
      </c>
    </row>
    <row r="31" spans="1:8" x14ac:dyDescent="0.2">
      <c r="A31" t="s">
        <v>62</v>
      </c>
      <c r="B31" t="s">
        <v>15</v>
      </c>
      <c r="C31" t="s">
        <v>71</v>
      </c>
      <c r="D31" t="s">
        <v>72</v>
      </c>
      <c r="E31" t="s">
        <v>137</v>
      </c>
      <c r="F31" t="str">
        <f t="shared" si="0"/>
        <v>Cekatan, Mudah bergaul, Agak malas</v>
      </c>
      <c r="G31" t="s">
        <v>152</v>
      </c>
      <c r="H31" t="str">
        <f t="shared" si="1"/>
        <v>General Manager (GM) – Perusahaan / Hotel / Resort,  Human Resources Director (HRD), Head of CSR (Corporate Social Responsibility),Mediator Profesional / Konsultan Mediasi Konflik, Spiritual Leader / Konselor Keagamaan, Public Figure / Aktivis Sosial / Influencer Nilai Positif, Life Coach / Motivator, Direktur NGO atau Yayasan Sosial</v>
      </c>
    </row>
    <row r="32" spans="1:8" x14ac:dyDescent="0.2">
      <c r="A32" t="s">
        <v>73</v>
      </c>
      <c r="B32" t="s">
        <v>4</v>
      </c>
      <c r="C32" t="s">
        <v>74</v>
      </c>
      <c r="D32" t="s">
        <v>75</v>
      </c>
      <c r="E32" t="s">
        <v>137</v>
      </c>
      <c r="F32" t="str">
        <f t="shared" si="0"/>
        <v>Cekatan, Mudah bergaul, Agak malas</v>
      </c>
      <c r="G32" t="s">
        <v>165</v>
      </c>
      <c r="H32" t="str">
        <f t="shared" si="1"/>
        <v>Peneliti / Riset Data / Data Analyst,Programmer / Web Developer / Software Engineer (Remote), Penulis Konten / Ghostwriter / Editor Buku, Desainer Grafis / Ilustrator Freelance,  Pekerja Administrasi / Data Entry (Freelance atau Tetap),  Ahli Keuangan / Akuntan (Terutama Freelance atau Konsultan), Pembuat Kerajinan Tangan / Handmade Artisan, Digital Marketer (SEO Specialist / Ads Manager)</v>
      </c>
    </row>
    <row r="33" spans="1:11" x14ac:dyDescent="0.2">
      <c r="A33" t="s">
        <v>73</v>
      </c>
      <c r="B33" t="s">
        <v>176</v>
      </c>
      <c r="C33" t="s">
        <v>76</v>
      </c>
      <c r="D33" t="s">
        <v>77</v>
      </c>
      <c r="E33" t="s">
        <v>125</v>
      </c>
      <c r="F33" t="str">
        <f t="shared" si="0"/>
        <v>Emosional, tidak suka direndahkan</v>
      </c>
      <c r="G33" t="s">
        <v>159</v>
      </c>
      <c r="H33" t="str">
        <f t="shared" si="1"/>
        <v>Pemimpin Tim / Supervisor yang Humanis, Motivator / Trainer / Coach, Public Relations Officer / Komunikator Publik, Guru / Dosen Inspiratif, Petugas Layanan Sosial / Psikolog Komunitas, Relawan Kemanusiaan / Aktivis, Manajer SDM (Human Capital Manager)</v>
      </c>
    </row>
    <row r="34" spans="1:11" x14ac:dyDescent="0.2">
      <c r="A34" t="s">
        <v>73</v>
      </c>
      <c r="B34" t="s">
        <v>9</v>
      </c>
      <c r="C34" t="s">
        <v>78</v>
      </c>
      <c r="D34" t="s">
        <v>79</v>
      </c>
      <c r="E34" t="s">
        <v>143</v>
      </c>
      <c r="F34" t="str">
        <f t="shared" si="0"/>
        <v>Lembut, Santun, Kepemimpinan, berselisih</v>
      </c>
      <c r="G34" t="s">
        <v>152</v>
      </c>
      <c r="H34" t="str">
        <f t="shared" si="1"/>
        <v>General Manager (GM) – Perusahaan / Hotel / Resort,  Human Resources Director (HRD), Head of CSR (Corporate Social Responsibility),Mediator Profesional / Konsultan Mediasi Konflik, Spiritual Leader / Konselor Keagamaan, Public Figure / Aktivis Sosial / Influencer Nilai Positif, Life Coach / Motivator, Direktur NGO atau Yayasan Sosial</v>
      </c>
    </row>
    <row r="35" spans="1:11" x14ac:dyDescent="0.2">
      <c r="A35" t="s">
        <v>73</v>
      </c>
      <c r="B35" t="s">
        <v>12</v>
      </c>
      <c r="C35" t="s">
        <v>80</v>
      </c>
      <c r="D35" t="s">
        <v>81</v>
      </c>
      <c r="E35" t="s">
        <v>134</v>
      </c>
      <c r="F35" t="str">
        <f t="shared" si="0"/>
        <v>Kalem, lemah lembut, Pendirian Kuat</v>
      </c>
      <c r="G35" t="s">
        <v>171</v>
      </c>
      <c r="H35" t="str">
        <f t="shared" si="1"/>
        <v>Pekerjaan di Bidang Sosial &amp; Kemanusiaan, Bidang Seni &amp; Kreatif, Profesi di Dunia Kesehatan &amp; Perawatan, Pendidikan &amp; Pengasuhan, Event Planner / Customer Service Premium, Pekerja NGO / Relawan</v>
      </c>
    </row>
    <row r="36" spans="1:11" x14ac:dyDescent="0.2">
      <c r="A36" t="s">
        <v>73</v>
      </c>
      <c r="B36" t="s">
        <v>15</v>
      </c>
      <c r="C36" t="s">
        <v>82</v>
      </c>
      <c r="D36" t="s">
        <v>83</v>
      </c>
      <c r="E36" t="s">
        <v>122</v>
      </c>
      <c r="F36" t="str">
        <f t="shared" si="0"/>
        <v>Pendiam, Lambat</v>
      </c>
      <c r="G36" t="s">
        <v>155</v>
      </c>
      <c r="H36" t="str">
        <f t="shared" si="1"/>
        <v>Litigator / Pengacara Senior,Politikus / Anggota Parlemen, CEO / Founder Perusahaan Start-Up, Kepala Satgas / Penegak Aturan (misalnya: Satpol PP, Tim Audit Internal, Investigator), Kritikus Profesional (Film, Seni, Makanan), Komandan Militer / Kepolisian, Pemimpin Serikat Pekerja / Aktivis Perjuangan Hak.</v>
      </c>
    </row>
    <row r="39" spans="1:11" ht="17" thickBot="1" x14ac:dyDescent="0.25">
      <c r="F39" s="3" t="s">
        <v>84</v>
      </c>
      <c r="G39" s="4" t="s">
        <v>85</v>
      </c>
      <c r="H39" s="4" t="s">
        <v>86</v>
      </c>
      <c r="I39" s="4" t="s">
        <v>87</v>
      </c>
      <c r="J39" s="4" t="s">
        <v>88</v>
      </c>
      <c r="K39" s="4" t="s">
        <v>89</v>
      </c>
    </row>
    <row r="40" spans="1:11" ht="35" thickTop="1" x14ac:dyDescent="0.2">
      <c r="F40" s="5" t="s">
        <v>3</v>
      </c>
      <c r="G40" s="6" t="s">
        <v>90</v>
      </c>
      <c r="H40" s="6" t="s">
        <v>91</v>
      </c>
      <c r="I40" s="6" t="s">
        <v>92</v>
      </c>
      <c r="J40" s="7" t="s">
        <v>93</v>
      </c>
      <c r="K40" s="8" t="s">
        <v>94</v>
      </c>
    </row>
    <row r="41" spans="1:11" ht="34" x14ac:dyDescent="0.2">
      <c r="F41" s="9" t="s">
        <v>18</v>
      </c>
      <c r="G41" s="10" t="s">
        <v>95</v>
      </c>
      <c r="H41" s="10" t="s">
        <v>96</v>
      </c>
      <c r="I41" s="11" t="s">
        <v>97</v>
      </c>
      <c r="J41" s="11" t="s">
        <v>98</v>
      </c>
      <c r="K41" s="11" t="s">
        <v>99</v>
      </c>
    </row>
    <row r="42" spans="1:11" ht="34" x14ac:dyDescent="0.2">
      <c r="F42" s="9" t="s">
        <v>29</v>
      </c>
      <c r="G42" s="11" t="s">
        <v>98</v>
      </c>
      <c r="H42" s="11" t="s">
        <v>99</v>
      </c>
      <c r="I42" s="11" t="s">
        <v>100</v>
      </c>
      <c r="J42" s="12" t="s">
        <v>101</v>
      </c>
      <c r="K42" s="11" t="s">
        <v>97</v>
      </c>
    </row>
    <row r="43" spans="1:11" ht="34" x14ac:dyDescent="0.2">
      <c r="F43" s="9" t="s">
        <v>40</v>
      </c>
      <c r="G43" s="13" t="s">
        <v>102</v>
      </c>
      <c r="H43" s="13" t="s">
        <v>103</v>
      </c>
      <c r="I43" s="14" t="s">
        <v>104</v>
      </c>
      <c r="J43" s="14" t="s">
        <v>105</v>
      </c>
      <c r="K43" s="13" t="s">
        <v>106</v>
      </c>
    </row>
    <row r="44" spans="1:11" ht="51" x14ac:dyDescent="0.2">
      <c r="F44" s="9" t="s">
        <v>51</v>
      </c>
      <c r="G44" s="13" t="s">
        <v>107</v>
      </c>
      <c r="H44" s="13" t="s">
        <v>101</v>
      </c>
      <c r="I44" s="14" t="s">
        <v>108</v>
      </c>
      <c r="J44" s="14" t="s">
        <v>109</v>
      </c>
      <c r="K44" s="14" t="s">
        <v>110</v>
      </c>
    </row>
    <row r="45" spans="1:11" ht="34" x14ac:dyDescent="0.2">
      <c r="F45" s="9" t="s">
        <v>111</v>
      </c>
      <c r="G45" s="14" t="s">
        <v>112</v>
      </c>
      <c r="H45" s="10" t="s">
        <v>113</v>
      </c>
      <c r="I45" s="14" t="s">
        <v>114</v>
      </c>
      <c r="J45" s="12" t="s">
        <v>90</v>
      </c>
      <c r="K45" s="15" t="s">
        <v>115</v>
      </c>
    </row>
    <row r="46" spans="1:11" ht="34" x14ac:dyDescent="0.2">
      <c r="F46" s="9" t="s">
        <v>73</v>
      </c>
      <c r="G46" s="15" t="s">
        <v>104</v>
      </c>
      <c r="H46" s="15" t="s">
        <v>116</v>
      </c>
      <c r="I46" s="15" t="s">
        <v>103</v>
      </c>
      <c r="J46" s="15" t="s">
        <v>117</v>
      </c>
      <c r="K46" s="15" t="s">
        <v>118</v>
      </c>
    </row>
    <row r="48" spans="1:11" x14ac:dyDescent="0.2">
      <c r="F48" s="16" t="s">
        <v>119</v>
      </c>
      <c r="G48" t="s">
        <v>120</v>
      </c>
      <c r="H48" t="s">
        <v>121</v>
      </c>
    </row>
    <row r="49" spans="5:8" x14ac:dyDescent="0.2">
      <c r="F49" s="17" t="s">
        <v>122</v>
      </c>
      <c r="G49" t="s">
        <v>123</v>
      </c>
      <c r="H49" t="s">
        <v>124</v>
      </c>
    </row>
    <row r="50" spans="5:8" x14ac:dyDescent="0.2">
      <c r="F50" s="17" t="s">
        <v>125</v>
      </c>
      <c r="G50" t="s">
        <v>126</v>
      </c>
      <c r="H50" t="s">
        <v>127</v>
      </c>
    </row>
    <row r="51" spans="5:8" x14ac:dyDescent="0.2">
      <c r="F51" t="s">
        <v>128</v>
      </c>
      <c r="G51" t="s">
        <v>129</v>
      </c>
      <c r="H51" t="s">
        <v>130</v>
      </c>
    </row>
    <row r="52" spans="5:8" x14ac:dyDescent="0.2">
      <c r="F52" s="19" t="s">
        <v>131</v>
      </c>
      <c r="G52" t="s">
        <v>132</v>
      </c>
      <c r="H52" t="s">
        <v>133</v>
      </c>
    </row>
    <row r="53" spans="5:8" x14ac:dyDescent="0.2">
      <c r="F53" t="s">
        <v>134</v>
      </c>
      <c r="G53" t="s">
        <v>135</v>
      </c>
      <c r="H53" t="s">
        <v>136</v>
      </c>
    </row>
    <row r="54" spans="5:8" x14ac:dyDescent="0.2">
      <c r="F54" t="s">
        <v>137</v>
      </c>
      <c r="G54" t="s">
        <v>138</v>
      </c>
      <c r="H54" t="s">
        <v>139</v>
      </c>
    </row>
    <row r="55" spans="5:8" x14ac:dyDescent="0.2">
      <c r="F55" t="s">
        <v>140</v>
      </c>
      <c r="G55" t="s">
        <v>141</v>
      </c>
      <c r="H55" t="s">
        <v>142</v>
      </c>
    </row>
    <row r="56" spans="5:8" x14ac:dyDescent="0.2">
      <c r="F56" t="s">
        <v>143</v>
      </c>
      <c r="G56" t="s">
        <v>144</v>
      </c>
      <c r="H56" t="s">
        <v>145</v>
      </c>
    </row>
    <row r="57" spans="5:8" x14ac:dyDescent="0.2">
      <c r="F57" t="s">
        <v>146</v>
      </c>
      <c r="G57" t="s">
        <v>147</v>
      </c>
      <c r="H57" t="s">
        <v>148</v>
      </c>
    </row>
    <row r="58" spans="5:8" x14ac:dyDescent="0.2">
      <c r="F58" t="s">
        <v>149</v>
      </c>
      <c r="G58" t="s">
        <v>150</v>
      </c>
      <c r="H58" t="s">
        <v>151</v>
      </c>
    </row>
    <row r="59" spans="5:8" x14ac:dyDescent="0.2">
      <c r="F59" t="s">
        <v>152</v>
      </c>
      <c r="G59" t="s">
        <v>153</v>
      </c>
      <c r="H59" t="s">
        <v>154</v>
      </c>
    </row>
    <row r="60" spans="5:8" x14ac:dyDescent="0.2">
      <c r="F60" t="s">
        <v>155</v>
      </c>
      <c r="G60" t="s">
        <v>156</v>
      </c>
      <c r="H60" s="18" t="s">
        <v>157</v>
      </c>
    </row>
    <row r="61" spans="5:8" x14ac:dyDescent="0.2">
      <c r="E61" t="s">
        <v>158</v>
      </c>
      <c r="F61" t="s">
        <v>159</v>
      </c>
      <c r="G61" t="s">
        <v>160</v>
      </c>
      <c r="H61" t="s">
        <v>161</v>
      </c>
    </row>
    <row r="62" spans="5:8" x14ac:dyDescent="0.2">
      <c r="F62" t="s">
        <v>162</v>
      </c>
      <c r="G62" t="s">
        <v>163</v>
      </c>
      <c r="H62" s="18" t="s">
        <v>164</v>
      </c>
    </row>
    <row r="63" spans="5:8" x14ac:dyDescent="0.2">
      <c r="F63" t="s">
        <v>165</v>
      </c>
      <c r="G63" t="s">
        <v>166</v>
      </c>
      <c r="H63" t="s">
        <v>167</v>
      </c>
    </row>
    <row r="64" spans="5:8" x14ac:dyDescent="0.2">
      <c r="F64" t="s">
        <v>168</v>
      </c>
      <c r="G64" t="s">
        <v>169</v>
      </c>
      <c r="H64" s="18" t="s">
        <v>170</v>
      </c>
    </row>
    <row r="65" spans="5:8" x14ac:dyDescent="0.2">
      <c r="F65" t="s">
        <v>171</v>
      </c>
      <c r="G65" t="s">
        <v>172</v>
      </c>
      <c r="H65" t="s">
        <v>173</v>
      </c>
    </row>
    <row r="69" spans="5:8" x14ac:dyDescent="0.2">
      <c r="E69" t="str">
        <f>'[1]TABEL-WUKU'!K53</f>
        <v>Senin</v>
      </c>
    </row>
    <row r="70" spans="5:8" x14ac:dyDescent="0.2">
      <c r="E70" t="str">
        <f>'[1]TABEL-WUKU'!K60</f>
        <v>Pon</v>
      </c>
      <c r="F70" t="str">
        <f>INDEX($G$40:$K$46, MATCH(E69, $F$40:$F$46, 0), MATCH(E70, $G$39:$K$39, 0))</f>
        <v>Aras Tuding, Sumur Sinaba</v>
      </c>
    </row>
    <row r="71" spans="5:8" x14ac:dyDescent="0.2">
      <c r="E71" t="s">
        <v>174</v>
      </c>
      <c r="F71" t="str" cm="1">
        <f t="array" ref="F71">INDEX(G40:K46, MATCH(TRUE, INDEX(EXACT(LOWER(F40:F46), LOWER(E69)), 0), 0),MATCH(TRUE, INDEX(EXACT(LOWER(G39:K39), LOWER(E70)), 0), 0))</f>
        <v>Aras Tuding, Sumur Sinaba</v>
      </c>
    </row>
    <row r="72" spans="5:8" x14ac:dyDescent="0.2">
      <c r="E72">
        <v>1</v>
      </c>
      <c r="F72" t="str">
        <f>TRIM(LEFT(F71,FIND(",",F71) - 1))</f>
        <v>Aras Tuding</v>
      </c>
      <c r="G72" t="str">
        <f>VLOOKUP(F72,$F$49:$G$65,2,FALSE)</f>
        <v>Tegas, berani, Sosial bernafsu</v>
      </c>
      <c r="H72" t="str">
        <f>VLOOKUP(F72,$F$49:$H$65,3,FALSE)</f>
        <v xml:space="preserve">Public Relations / Spokesperson,Pengacara / Aktivis Hukum,  Entrepreneur / Pemimpin Startup, </v>
      </c>
    </row>
    <row r="73" spans="5:8" x14ac:dyDescent="0.2">
      <c r="E73">
        <v>2</v>
      </c>
      <c r="F73" t="str">
        <f>TRIM(MID(F71, FIND(",", F71) + 1, LEN(F71)))</f>
        <v>Sumur Sinaba</v>
      </c>
      <c r="G73" t="str">
        <f>VLOOKUP(TRIM(CLEAN(F73)), $F$49:$G$65, 2, FALSE)</f>
        <v>Emosional, Kecewa, bergejolak</v>
      </c>
      <c r="H73" t="str">
        <f>VLOOKUP(TRIM(CLEAN(F73)), $F$49:$H$65, 3, FALSE)</f>
        <v>Seniman (Pelukis, Penulis, Pemusik, Aktor), Penulis Novel / Puisi / Jurnalis Esai Pribadi, Psikolog / Konselor / Terapis, Relawan Trauma Healing / Pekerja Sosial, Penyiar / Podcaster Tema Emosional atau Sosial, Terapi Ekspresif (Art Therapy / Musik / Drama),Konsultan Spiritualitas / Penceramah Jiwa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Palelintangan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Wayan Narta</dc:creator>
  <cp:lastModifiedBy>Wayan Narta</cp:lastModifiedBy>
  <dcterms:created xsi:type="dcterms:W3CDTF">2025-09-16T05:42:26Z</dcterms:created>
  <dcterms:modified xsi:type="dcterms:W3CDTF">2025-09-26T11:52:33Z</dcterms:modified>
</cp:coreProperties>
</file>